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Excused attendance: Trishanku was not present in person but informed Kaamran bhaiya in advance about lab and mid-sem paper distribution.</t>
      </text>
    </comment>
    <comment authorId="0" ref="I17">
      <text>
        <t xml:space="preserve">Had music club intro during the meeting time</t>
      </text>
    </comment>
  </commentList>
</comments>
</file>

<file path=xl/sharedStrings.xml><?xml version="1.0" encoding="utf-8"?>
<sst xmlns="http://schemas.openxmlformats.org/spreadsheetml/2006/main" count="110" uniqueCount="86">
  <si>
    <t>ENIGMA CORE MEMBERS ATTENDANCE TRACKER</t>
  </si>
  <si>
    <t>Official Core Member Attendance &amp; Domain Performance Roster • AY 2026–2027</t>
  </si>
  <si>
    <t>TOTAL MEMBERS</t>
  </si>
  <si>
    <t>SESSIONS HELD</t>
  </si>
  <si>
    <t>OVERALL ATTENDANCE</t>
  </si>
  <si>
    <t>REGULAR ATTENDEES (≥75%)</t>
  </si>
  <si>
    <t>Member Name</t>
  </si>
  <si>
    <t>Roll Number</t>
  </si>
  <si>
    <t>UG Batch</t>
  </si>
  <si>
    <t>Email ID</t>
  </si>
  <si>
    <t>Contact Number</t>
  </si>
  <si>
    <t>Domain</t>
  </si>
  <si>
    <t>Attended</t>
  </si>
  <si>
    <t>Total</t>
  </si>
  <si>
    <t>Rate</t>
  </si>
  <si>
    <t>Status</t>
  </si>
  <si>
    <t>Domain Breakdown</t>
  </si>
  <si>
    <t>Headcount</t>
  </si>
  <si>
    <t>Total Attended</t>
  </si>
  <si>
    <t>Total Possible</t>
  </si>
  <si>
    <t>Avg Sessions / Member</t>
  </si>
  <si>
    <t>Attendance Rate (%)</t>
  </si>
  <si>
    <t>Trishanku Kotharu</t>
  </si>
  <si>
    <t>S20250010248</t>
  </si>
  <si>
    <t>UG-2</t>
  </si>
  <si>
    <t>trishanku.k25@iiits.in</t>
  </si>
  <si>
    <t>8096344888</t>
  </si>
  <si>
    <t>Web Engineering &amp; Gen AI</t>
  </si>
  <si>
    <t>Cybersecurity</t>
  </si>
  <si>
    <t>Prajwal Shambharkar</t>
  </si>
  <si>
    <t>S20250010224</t>
  </si>
  <si>
    <t>prajwalmadhav.s25@iiits.in</t>
  </si>
  <si>
    <t>9209467121</t>
  </si>
  <si>
    <t>Gurram naga Hanvitha</t>
  </si>
  <si>
    <t>S20250010082</t>
  </si>
  <si>
    <t>nagahanvitha.g25@iiits.in</t>
  </si>
  <si>
    <t>9347704663</t>
  </si>
  <si>
    <t>System Software</t>
  </si>
  <si>
    <t>Burugu Akanksha</t>
  </si>
  <si>
    <t>S20250010039</t>
  </si>
  <si>
    <t>akanksha.b25@iiits.in</t>
  </si>
  <si>
    <t>8764233903</t>
  </si>
  <si>
    <t>Events and Operations</t>
  </si>
  <si>
    <t>R.Pardhu</t>
  </si>
  <si>
    <t>S20250010206</t>
  </si>
  <si>
    <t>pardhu.r25@iiits.in</t>
  </si>
  <si>
    <t>9493142589</t>
  </si>
  <si>
    <t>PR &amp; Design</t>
  </si>
  <si>
    <t>Bhooshen Sakthivel</t>
  </si>
  <si>
    <t>S20250030386</t>
  </si>
  <si>
    <t>bhooshen.s25@iiits.in</t>
  </si>
  <si>
    <t>8925516807</t>
  </si>
  <si>
    <t>Total / Overall</t>
  </si>
  <si>
    <t>RITHISH S</t>
  </si>
  <si>
    <t>S20250010209</t>
  </si>
  <si>
    <t>rithish.s25@iiits.in</t>
  </si>
  <si>
    <t>9384754120</t>
  </si>
  <si>
    <t>Adwaith Naveen</t>
  </si>
  <si>
    <t>S20250020280</t>
  </si>
  <si>
    <t>naveen.a25@iiits.in</t>
  </si>
  <si>
    <t>7736567443</t>
  </si>
  <si>
    <t>📌 Calculation Methodology &amp; Metric Definitions</t>
  </si>
  <si>
    <t>Pawar Kartik Ashok</t>
  </si>
  <si>
    <t>S20250010183</t>
  </si>
  <si>
    <t>kartikashok.p25@iiits.in</t>
  </si>
  <si>
    <t>8624936844</t>
  </si>
  <si>
    <t>• Total Possible = Headcount × Sessions Held (3)  |  • Avg Sessions / Member = Total Attended ÷ Headcount  |  • Attendance Rate (%) = Total Attended ÷ Total Possible</t>
  </si>
  <si>
    <t>A. Aadhitya</t>
  </si>
  <si>
    <t>S20250010001</t>
  </si>
  <si>
    <t>aadhitya.s25@iiits.in</t>
  </si>
  <si>
    <t>8310325323</t>
  </si>
  <si>
    <t>Hemanth Gundu</t>
  </si>
  <si>
    <t>S20240010081</t>
  </si>
  <si>
    <t>UG-3</t>
  </si>
  <si>
    <t>hemanth.g24@iiits.in</t>
  </si>
  <si>
    <t>77308 84417</t>
  </si>
  <si>
    <t>Abhimanyu Jana</t>
  </si>
  <si>
    <t>S20250030372</t>
  </si>
  <si>
    <t>abhimanyu.j25@iiits.in</t>
  </si>
  <si>
    <t>9330779414</t>
  </si>
  <si>
    <t>Komal</t>
  </si>
  <si>
    <t>S20250010119</t>
  </si>
  <si>
    <t>komal.k25@iiits.in</t>
  </si>
  <si>
    <t>7903018374</t>
  </si>
  <si>
    <t>Total Attendees</t>
  </si>
  <si>
    <t>Turnout Rate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</si>
</sst>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dd mmm yyyy"/>
    <numFmt numFmtId="166" formatCode="d mmm yyyy"/>
    <numFmt numFmtId="167" formatCode="0.0"/>
  </numFmts>
  <fonts count="13">
    <font>
      <sz val="10.0"/>
      <color rgb="FF000000"/>
      <name val="Arial"/>
      <scheme val="minor"/>
    </font>
    <font>
      <b/>
      <sz val="16.0"/>
      <color rgb="FF1E3989"/>
      <name val="Google Sans"/>
    </font>
    <font>
      <sz val="10.0"/>
      <color rgb="FF767680"/>
      <name val="Google Sans"/>
    </font>
    <font>
      <b/>
      <sz val="8.0"/>
      <color rgb="FF41465A"/>
      <name val="Google Sans"/>
    </font>
    <font/>
    <font>
      <b/>
      <sz val="10.0"/>
      <color rgb="FFFFFFFF"/>
      <name val="Google Sans"/>
    </font>
    <font>
      <sz val="10.0"/>
      <color rgb="FF1A1B20"/>
      <name val="Google Sans"/>
    </font>
    <font>
      <sz val="9.0"/>
      <color rgb="FF41465A"/>
      <name val="Google Sans"/>
    </font>
    <font>
      <sz val="9.0"/>
      <color theme="1"/>
      <name val="Google Sans"/>
    </font>
    <font>
      <color theme="1"/>
      <name val="Arial"/>
      <scheme val="minor"/>
    </font>
    <font>
      <sz val="10.0"/>
      <color theme="1"/>
      <name val="Google Sans"/>
    </font>
    <font>
      <b/>
      <sz val="9.0"/>
      <color rgb="FF1E3989"/>
      <name val="Google Sans"/>
    </font>
    <font>
      <sz val="9.0"/>
      <color rgb="FF45474A"/>
      <name val="Google Sans"/>
    </font>
  </fonts>
  <fills count="9">
    <fill>
      <patternFill patternType="none"/>
    </fill>
    <fill>
      <patternFill patternType="lightGray"/>
    </fill>
    <fill>
      <patternFill patternType="solid">
        <fgColor rgb="FFEDEFF8"/>
        <bgColor rgb="FFEDEFF8"/>
      </patternFill>
    </fill>
    <fill>
      <patternFill patternType="solid">
        <fgColor rgb="FFF9FBFF"/>
        <bgColor rgb="FFF9FBFF"/>
      </patternFill>
    </fill>
    <fill>
      <patternFill patternType="solid">
        <fgColor rgb="FF1E3989"/>
        <bgColor rgb="FF1E3989"/>
      </patternFill>
    </fill>
    <fill>
      <patternFill patternType="solid">
        <fgColor rgb="FFFFFFFF"/>
        <bgColor rgb="FFFFFFFF"/>
      </patternFill>
    </fill>
    <fill>
      <patternFill patternType="solid">
        <fgColor rgb="FFF8F9FC"/>
        <bgColor rgb="FFF8F9FC"/>
      </patternFill>
    </fill>
    <fill>
      <patternFill patternType="solid">
        <fgColor rgb="FFF8F9FB"/>
        <bgColor rgb="FFF8F9FB"/>
      </patternFill>
    </fill>
    <fill>
      <patternFill patternType="solid">
        <fgColor rgb="FFFCE6E6"/>
        <bgColor rgb="FFFCE6E6"/>
      </patternFill>
    </fill>
  </fills>
  <borders count="15">
    <border/>
    <border>
      <left style="thin">
        <color rgb="FFC6D1EA"/>
      </left>
      <top style="thin">
        <color rgb="FFC6D1EA"/>
      </top>
    </border>
    <border>
      <right style="thin">
        <color rgb="FFC6D1EA"/>
      </right>
      <top style="thin">
        <color rgb="FFC6D1EA"/>
      </top>
    </border>
    <border>
      <left style="thin">
        <color rgb="FFC6D1EA"/>
      </left>
      <bottom style="thin">
        <color rgb="FFC6D1EA"/>
      </bottom>
    </border>
    <border>
      <right style="thin">
        <color rgb="FFC6D1EA"/>
      </right>
      <bottom style="thin">
        <color rgb="FFC6D1EA"/>
      </bottom>
    </border>
    <border>
      <left style="thin">
        <color rgb="FFC6D1EA"/>
      </left>
      <top style="thin">
        <color rgb="FFC6D1EA"/>
      </top>
      <bottom style="thin">
        <color rgb="FFE2E8EF"/>
      </bottom>
    </border>
    <border>
      <top style="thin">
        <color rgb="FFC6D1EA"/>
      </top>
      <bottom style="thin">
        <color rgb="FFE2E8EF"/>
      </bottom>
    </border>
    <border>
      <right style="thin">
        <color rgb="FFC6D1EA"/>
      </right>
      <top style="thin">
        <color rgb="FFC6D1EA"/>
      </top>
      <bottom style="thin">
        <color rgb="FFE2E8EF"/>
      </bottom>
    </border>
    <border>
      <left style="thin">
        <color rgb="FFC6D1EA"/>
      </left>
      <top style="thin">
        <color rgb="FFE2E8EF"/>
      </top>
      <bottom style="thin">
        <color rgb="FFE2E8EF"/>
      </bottom>
    </border>
    <border>
      <top style="thin">
        <color rgb="FFE2E8EF"/>
      </top>
      <bottom style="thin">
        <color rgb="FFE2E8EF"/>
      </bottom>
    </border>
    <border>
      <right style="thin">
        <color rgb="FFC6D1EA"/>
      </right>
      <top style="thin">
        <color rgb="FFE2E8EF"/>
      </top>
      <bottom style="thin">
        <color rgb="FFE2E8EF"/>
      </bottom>
    </border>
    <border>
      <left style="thin">
        <color rgb="FFC6D1EA"/>
      </left>
      <top style="thin">
        <color rgb="FFE2E8EF"/>
      </top>
      <bottom style="thin">
        <color rgb="FFC6D1EA"/>
      </bottom>
    </border>
    <border>
      <top style="thin">
        <color rgb="FFE2E8EF"/>
      </top>
      <bottom style="thin">
        <color rgb="FFC6D1EA"/>
      </bottom>
    </border>
    <border>
      <right style="thin">
        <color rgb="FFC6D1EA"/>
      </right>
      <top style="thin">
        <color rgb="FFE2E8EF"/>
      </top>
      <bottom style="thin">
        <color rgb="FFC6D1EA"/>
      </bottom>
    </border>
    <border>
      <top style="thin">
        <color rgb="FFC6D1EA"/>
      </top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0" fillId="2" fontId="3" numFmtId="0" xfId="0" applyAlignment="1" applyFill="1" applyFont="1">
      <alignment horizontal="center" readingOrder="0" vertical="center"/>
    </xf>
    <xf borderId="3" fillId="3" fontId="1" numFmtId="0" xfId="0" applyAlignment="1" applyBorder="1" applyFill="1" applyFont="1">
      <alignment horizontal="center" vertical="center"/>
    </xf>
    <xf borderId="4" fillId="0" fontId="4" numFmtId="0" xfId="0" applyBorder="1" applyFont="1"/>
    <xf borderId="3" fillId="3" fontId="1" numFmtId="164" xfId="0" applyAlignment="1" applyBorder="1" applyFill="1" applyFont="1" applyNumberFormat="1">
      <alignment horizontal="center" vertical="center"/>
    </xf>
    <xf borderId="0" fillId="3" fontId="1" numFmtId="0" xfId="0" applyAlignment="1" applyFill="1" applyFont="1">
      <alignment horizontal="center" vertical="center"/>
    </xf>
    <xf borderId="5" fillId="4" fontId="5" numFmtId="0" xfId="0" applyAlignment="1" applyBorder="1" applyFill="1" applyFont="1">
      <alignment horizontal="left" vertical="center"/>
    </xf>
    <xf borderId="6" fillId="4" fontId="5" numFmtId="0" xfId="0" applyAlignment="1" applyBorder="1" applyFill="1" applyFont="1">
      <alignment horizontal="center" vertical="center"/>
    </xf>
    <xf borderId="6" fillId="4" fontId="5" numFmtId="0" xfId="0" applyAlignment="1" applyBorder="1" applyFill="1" applyFont="1">
      <alignment horizontal="left" vertical="center"/>
    </xf>
    <xf borderId="6" fillId="4" fontId="5" numFmtId="165" xfId="0" applyAlignment="1" applyBorder="1" applyFill="1" applyFont="1" applyNumberFormat="1">
      <alignment horizontal="center" readingOrder="0" vertical="center"/>
    </xf>
    <xf borderId="6" fillId="4" fontId="5" numFmtId="166" xfId="0" applyAlignment="1" applyBorder="1" applyFill="1" applyFont="1" applyNumberFormat="1">
      <alignment horizontal="center" readingOrder="0" vertical="center"/>
    </xf>
    <xf borderId="6" fillId="4" fontId="5" numFmtId="0" xfId="0" applyAlignment="1" applyBorder="1" applyFill="1" applyFont="1">
      <alignment horizontal="center" readingOrder="0" vertical="center"/>
    </xf>
    <xf borderId="5" fillId="4" fontId="5" numFmtId="0" xfId="0" applyAlignment="1" applyBorder="1" applyFill="1" applyFont="1">
      <alignment horizontal="left" readingOrder="0" shrinkToFit="0" vertical="center" wrapText="1"/>
    </xf>
    <xf borderId="6" fillId="4" fontId="5" numFmtId="0" xfId="0" applyAlignment="1" applyBorder="1" applyFill="1" applyFont="1">
      <alignment horizontal="right" readingOrder="0" shrinkToFit="0" vertical="center" wrapText="1"/>
    </xf>
    <xf borderId="7" fillId="4" fontId="5" numFmtId="0" xfId="0" applyAlignment="1" applyBorder="1" applyFill="1" applyFont="1">
      <alignment horizontal="right" readingOrder="0" shrinkToFit="0" vertical="center" wrapText="1"/>
    </xf>
    <xf borderId="8" fillId="5" fontId="6" numFmtId="0" xfId="0" applyAlignment="1" applyBorder="1" applyFill="1" applyFont="1">
      <alignment horizontal="left" readingOrder="0" vertical="center"/>
    </xf>
    <xf borderId="9" fillId="5" fontId="7" numFmtId="0" xfId="0" applyAlignment="1" applyBorder="1" applyFill="1" applyFont="1">
      <alignment horizontal="center" readingOrder="0" vertical="center"/>
    </xf>
    <xf borderId="9" fillId="5" fontId="8" numFmtId="0" xfId="0" applyAlignment="1" applyBorder="1" applyFill="1" applyFont="1">
      <alignment horizontal="left" readingOrder="0" vertical="center"/>
    </xf>
    <xf quotePrefix="1" borderId="9" fillId="5" fontId="8" numFmtId="49" xfId="0" applyAlignment="1" applyBorder="1" applyFill="1" applyFont="1" applyNumberFormat="1">
      <alignment horizontal="center" readingOrder="0" vertical="center"/>
    </xf>
    <xf borderId="9" fillId="5" fontId="8" numFmtId="0" xfId="0" applyAlignment="1" applyBorder="1" applyFill="1" applyFont="1">
      <alignment horizontal="left" readingOrder="0" vertical="center"/>
    </xf>
    <xf borderId="9" fillId="5" fontId="9" numFmtId="0" xfId="0" applyAlignment="1" applyBorder="1" applyFill="1" applyFont="1">
      <alignment horizontal="center" readingOrder="0" vertical="center"/>
    </xf>
    <xf borderId="9" fillId="5" fontId="8" numFmtId="1" xfId="0" applyAlignment="1" applyBorder="1" applyFill="1" applyFont="1" applyNumberFormat="1">
      <alignment horizontal="center" readingOrder="0" vertical="center"/>
    </xf>
    <xf borderId="9" fillId="5" fontId="8" numFmtId="1" xfId="0" applyAlignment="1" applyBorder="1" applyFill="1" applyFont="1" applyNumberFormat="1">
      <alignment horizontal="center" vertical="center"/>
    </xf>
    <xf borderId="9" fillId="5" fontId="8" numFmtId="164" xfId="0" applyAlignment="1" applyBorder="1" applyFill="1" applyFont="1" applyNumberFormat="1">
      <alignment horizontal="center" vertical="center"/>
    </xf>
    <xf borderId="8" fillId="5" fontId="10" numFmtId="0" xfId="0" applyAlignment="1" applyBorder="1" applyFill="1" applyFont="1">
      <alignment horizontal="left" vertical="center"/>
    </xf>
    <xf borderId="9" fillId="5" fontId="10" numFmtId="3" xfId="0" applyAlignment="1" applyBorder="1" applyFill="1" applyFont="1" applyNumberFormat="1">
      <alignment horizontal="right" vertical="center"/>
    </xf>
    <xf borderId="10" fillId="5" fontId="10" numFmtId="3" xfId="0" applyAlignment="1" applyBorder="1" applyFill="1" applyFont="1" applyNumberFormat="1">
      <alignment horizontal="right" vertical="center"/>
    </xf>
    <xf borderId="9" fillId="5" fontId="10" numFmtId="167" xfId="0" applyAlignment="1" applyBorder="1" applyFill="1" applyFont="1" applyNumberFormat="1">
      <alignment horizontal="right" vertical="center"/>
    </xf>
    <xf borderId="10" fillId="5" fontId="10" numFmtId="164" xfId="0" applyAlignment="1" applyBorder="1" applyFill="1" applyFont="1" applyNumberFormat="1">
      <alignment horizontal="right" vertical="center"/>
    </xf>
    <xf borderId="8" fillId="6" fontId="6" numFmtId="0" xfId="0" applyAlignment="1" applyBorder="1" applyFill="1" applyFont="1">
      <alignment horizontal="left" readingOrder="0" vertical="center"/>
    </xf>
    <xf borderId="9" fillId="6" fontId="7" numFmtId="0" xfId="0" applyAlignment="1" applyBorder="1" applyFill="1" applyFont="1">
      <alignment horizontal="center" readingOrder="0" vertical="center"/>
    </xf>
    <xf borderId="9" fillId="5" fontId="8" numFmtId="49" xfId="0" applyAlignment="1" applyBorder="1" applyFill="1" applyFont="1" applyNumberFormat="1">
      <alignment horizontal="center" readingOrder="0" vertical="center"/>
    </xf>
    <xf borderId="9" fillId="6" fontId="8" numFmtId="0" xfId="0" applyAlignment="1" applyBorder="1" applyFill="1" applyFont="1">
      <alignment horizontal="left" readingOrder="0" vertical="center"/>
    </xf>
    <xf borderId="9" fillId="6" fontId="8" numFmtId="49" xfId="0" applyAlignment="1" applyBorder="1" applyFill="1" applyFont="1" applyNumberFormat="1">
      <alignment horizontal="center" readingOrder="0" vertical="center"/>
    </xf>
    <xf borderId="9" fillId="6" fontId="9" numFmtId="0" xfId="0" applyAlignment="1" applyBorder="1" applyFill="1" applyFont="1">
      <alignment horizontal="center" readingOrder="0" vertical="center"/>
    </xf>
    <xf borderId="9" fillId="6" fontId="8" numFmtId="1" xfId="0" applyAlignment="1" applyBorder="1" applyFill="1" applyFont="1" applyNumberFormat="1">
      <alignment horizontal="center" readingOrder="0" vertical="center"/>
    </xf>
    <xf borderId="9" fillId="6" fontId="8" numFmtId="1" xfId="0" applyAlignment="1" applyBorder="1" applyFill="1" applyFont="1" applyNumberFormat="1">
      <alignment horizontal="center" vertical="center"/>
    </xf>
    <xf borderId="9" fillId="6" fontId="8" numFmtId="164" xfId="0" applyAlignment="1" applyBorder="1" applyFill="1" applyFont="1" applyNumberFormat="1">
      <alignment horizontal="center" vertical="center"/>
    </xf>
    <xf borderId="11" fillId="2" fontId="11" numFmtId="0" xfId="0" applyAlignment="1" applyBorder="1" applyFill="1" applyFont="1">
      <alignment horizontal="left" vertical="center"/>
    </xf>
    <xf borderId="12" fillId="2" fontId="11" numFmtId="3" xfId="0" applyAlignment="1" applyBorder="1" applyFill="1" applyFont="1" applyNumberFormat="1">
      <alignment horizontal="right" vertical="center"/>
    </xf>
    <xf borderId="13" fillId="2" fontId="11" numFmtId="3" xfId="0" applyAlignment="1" applyBorder="1" applyFill="1" applyFont="1" applyNumberFormat="1">
      <alignment horizontal="right" vertical="center"/>
    </xf>
    <xf borderId="12" fillId="2" fontId="11" numFmtId="167" xfId="0" applyAlignment="1" applyBorder="1" applyFill="1" applyFont="1" applyNumberFormat="1">
      <alignment horizontal="right" vertical="center"/>
    </xf>
    <xf borderId="13" fillId="2" fontId="11" numFmtId="164" xfId="0" applyAlignment="1" applyBorder="1" applyFill="1" applyFont="1" applyNumberFormat="1">
      <alignment horizontal="right" vertical="center"/>
    </xf>
    <xf borderId="5" fillId="2" fontId="11" numFmtId="0" xfId="0" applyAlignment="1" applyBorder="1" applyFill="1" applyFont="1">
      <alignment horizontal="left" readingOrder="0" vertical="center"/>
    </xf>
    <xf borderId="6" fillId="0" fontId="4" numFmtId="0" xfId="0" applyBorder="1" applyFont="1"/>
    <xf borderId="7" fillId="0" fontId="4" numFmtId="0" xfId="0" applyBorder="1" applyFont="1"/>
    <xf borderId="11" fillId="7" fontId="12" numFmtId="0" xfId="0" applyAlignment="1" applyBorder="1" applyFill="1" applyFont="1">
      <alignment horizontal="left" readingOrder="0" shrinkToFit="0" vertical="center" wrapText="1"/>
    </xf>
    <xf borderId="12" fillId="0" fontId="4" numFmtId="0" xfId="0" applyBorder="1" applyFont="1"/>
    <xf borderId="13" fillId="0" fontId="4" numFmtId="0" xfId="0" applyBorder="1" applyFont="1"/>
    <xf borderId="8" fillId="8" fontId="6" numFmtId="0" xfId="0" applyAlignment="1" applyBorder="1" applyFill="1" applyFont="1">
      <alignment horizontal="left" readingOrder="0" vertical="center"/>
    </xf>
    <xf borderId="9" fillId="8" fontId="7" numFmtId="0" xfId="0" applyAlignment="1" applyBorder="1" applyFill="1" applyFont="1">
      <alignment horizontal="center" readingOrder="0" vertical="center"/>
    </xf>
    <xf borderId="9" fillId="8" fontId="8" numFmtId="0" xfId="0" applyAlignment="1" applyBorder="1" applyFill="1" applyFont="1">
      <alignment horizontal="left" readingOrder="0" vertical="center"/>
    </xf>
    <xf borderId="9" fillId="8" fontId="8" numFmtId="49" xfId="0" applyAlignment="1" applyBorder="1" applyFill="1" applyFont="1" applyNumberFormat="1">
      <alignment horizontal="center" readingOrder="0" vertical="center"/>
    </xf>
    <xf borderId="9" fillId="8" fontId="9" numFmtId="0" xfId="0" applyAlignment="1" applyBorder="1" applyFill="1" applyFont="1">
      <alignment horizontal="center" readingOrder="0" vertical="center"/>
    </xf>
    <xf borderId="9" fillId="8" fontId="8" numFmtId="1" xfId="0" applyAlignment="1" applyBorder="1" applyFill="1" applyFont="1" applyNumberFormat="1">
      <alignment horizontal="center" readingOrder="0" vertical="center"/>
    </xf>
    <xf borderId="9" fillId="8" fontId="8" numFmtId="1" xfId="0" applyAlignment="1" applyBorder="1" applyFill="1" applyFont="1" applyNumberFormat="1">
      <alignment horizontal="center" vertical="center"/>
    </xf>
    <xf borderId="9" fillId="8" fontId="8" numFmtId="164" xfId="0" applyAlignment="1" applyBorder="1" applyFill="1" applyFont="1" applyNumberFormat="1">
      <alignment horizontal="center" vertical="center"/>
    </xf>
    <xf borderId="11" fillId="2" fontId="11" numFmtId="0" xfId="0" applyAlignment="1" applyBorder="1" applyFill="1" applyFont="1">
      <alignment horizontal="left" readingOrder="0" vertical="center"/>
    </xf>
    <xf borderId="12" fillId="2" fontId="11" numFmtId="3" xfId="0" applyAlignment="1" applyBorder="1" applyFill="1" applyFont="1" applyNumberFormat="1">
      <alignment horizontal="center" readingOrder="0" vertical="center"/>
    </xf>
    <xf borderId="12" fillId="2" fontId="11" numFmtId="3" xfId="0" applyAlignment="1" applyBorder="1" applyFill="1" applyFont="1" applyNumberFormat="1">
      <alignment horizontal="center" vertical="center"/>
    </xf>
    <xf borderId="12" fillId="2" fontId="11" numFmtId="164" xfId="0" applyAlignment="1" applyBorder="1" applyFill="1" applyFont="1" applyNumberFormat="1">
      <alignment horizontal="center" vertical="center"/>
    </xf>
    <xf borderId="13" fillId="2" fontId="11" numFmtId="164" xfId="0" applyAlignment="1" applyBorder="1" applyFill="1" applyFont="1" applyNumberFormat="1">
      <alignment horizontal="center" vertical="center"/>
    </xf>
    <xf borderId="1" fillId="2" fontId="11" numFmtId="0" xfId="0" applyAlignment="1" applyBorder="1" applyFill="1" applyFont="1">
      <alignment readingOrder="0" vertical="center"/>
    </xf>
    <xf borderId="14" fillId="0" fontId="4" numFmtId="0" xfId="0" applyBorder="1" applyFont="1"/>
    <xf borderId="14" fillId="2" fontId="11" numFmtId="164" xfId="0" applyAlignment="1" applyBorder="1" applyFill="1" applyFont="1" applyNumberFormat="1">
      <alignment horizontal="center" vertical="center"/>
    </xf>
    <xf borderId="14" fillId="2" fontId="11" numFmtId="3" xfId="0" applyAlignment="1" applyBorder="1" applyFill="1" applyFont="1" applyNumberFormat="1">
      <alignment horizontal="center" vertical="center"/>
    </xf>
    <xf borderId="2" fillId="2" fontId="11" numFmtId="164" xfId="0" applyAlignment="1" applyBorder="1" applyFill="1" applyFont="1" applyNumberFormat="1">
      <alignment horizontal="right" vertical="center"/>
    </xf>
    <xf borderId="0" fillId="5" fontId="9" numFmtId="0" xfId="0" applyAlignment="1" applyFill="1" applyFont="1">
      <alignment readingOrder="0" vertical="center"/>
    </xf>
    <xf borderId="0" fillId="5" fontId="9" numFmtId="164" xfId="0" applyAlignment="1" applyFill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color rgb="FF146626"/>
      </font>
      <fill>
        <patternFill patternType="solid">
          <fgColor rgb="FFD3EDD8"/>
          <bgColor rgb="FFD3EDD8"/>
        </patternFill>
      </fill>
      <border/>
    </dxf>
    <dxf>
      <font>
        <b/>
        <color rgb="FFA56600"/>
      </font>
      <fill>
        <patternFill patternType="solid">
          <fgColor rgb="FFFFF2CC"/>
          <bgColor rgb="FFFFF2CC"/>
        </patternFill>
      </fill>
      <border/>
    </dxf>
    <dxf>
      <font>
        <b/>
        <color rgb="FFA51926"/>
      </font>
      <fill>
        <patternFill patternType="solid">
          <fgColor rgb="FFF9D6D8"/>
          <bgColor rgb="FFF9D6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.75"/>
    <col customWidth="1" min="2" max="2" width="27.63"/>
    <col customWidth="1" min="3" max="3" width="17.63"/>
    <col customWidth="1" min="4" max="4" width="11.38"/>
    <col customWidth="1" min="5" max="5" width="28.88"/>
    <col customWidth="1" min="6" max="6" width="16.38"/>
    <col customWidth="1" min="7" max="7" width="25.13"/>
    <col customWidth="1" min="8" max="10" width="13.25"/>
    <col customWidth="1" min="11" max="11" width="11.38"/>
    <col customWidth="1" min="12" max="12" width="9.5"/>
    <col customWidth="1" min="13" max="13" width="10.13"/>
    <col customWidth="1" min="14" max="14" width="16.38"/>
    <col customWidth="1" min="15" max="16" width="3.13"/>
    <col customWidth="1" min="17" max="17" width="23.88"/>
    <col customWidth="1" min="18" max="18" width="12.0"/>
    <col customWidth="1" min="19" max="19" width="13.88"/>
    <col customWidth="1" min="20" max="20" width="13.25"/>
    <col customWidth="1" min="21" max="21" width="18.25"/>
    <col customWidth="1" min="22" max="22" width="17.63"/>
  </cols>
  <sheetData>
    <row r="1" ht="6.75" customHeight="1"/>
    <row r="2" ht="28.5" customHeight="1">
      <c r="B2" s="1" t="s">
        <v>0</v>
      </c>
    </row>
    <row r="3" ht="18.0" customHeight="1">
      <c r="B3" s="2" t="s">
        <v>1</v>
      </c>
    </row>
    <row r="4" ht="15.0" customHeight="1">
      <c r="B4" s="3" t="s">
        <v>2</v>
      </c>
      <c r="C4" s="4"/>
      <c r="D4" s="3" t="s">
        <v>3</v>
      </c>
      <c r="E4" s="4"/>
      <c r="F4" s="3" t="s">
        <v>4</v>
      </c>
      <c r="G4" s="4"/>
      <c r="H4" s="3" t="s">
        <v>5</v>
      </c>
      <c r="I4" s="4"/>
      <c r="J4" s="5"/>
    </row>
    <row r="5" ht="25.5" customHeight="1">
      <c r="B5" s="6">
        <f>COUNTA(B8:B20)</f>
        <v>13</v>
      </c>
      <c r="C5" s="7"/>
      <c r="D5" s="6">
        <f>COUNTA(H7:J7)</f>
        <v>3</v>
      </c>
      <c r="E5" s="7"/>
      <c r="F5" s="8">
        <f>IFERROR(AVERAGE(M8:M20),0)</f>
        <v>0.9487179487</v>
      </c>
      <c r="G5" s="7"/>
      <c r="H5" s="6">
        <f>COUNTIF(M8:M20,"&gt;=0.75")</f>
        <v>12</v>
      </c>
      <c r="I5" s="7"/>
      <c r="J5" s="9"/>
    </row>
    <row r="6" ht="9.0" customHeight="1"/>
    <row r="7" ht="24.0" customHeight="1">
      <c r="B7" s="10" t="s">
        <v>6</v>
      </c>
      <c r="C7" s="11" t="s">
        <v>7</v>
      </c>
      <c r="D7" s="11" t="s">
        <v>8</v>
      </c>
      <c r="E7" s="12" t="s">
        <v>9</v>
      </c>
      <c r="F7" s="11" t="s">
        <v>10</v>
      </c>
      <c r="G7" s="12" t="s">
        <v>11</v>
      </c>
      <c r="H7" s="13">
        <v>46268.0</v>
      </c>
      <c r="I7" s="14">
        <v>46285.0</v>
      </c>
      <c r="J7" s="14">
        <v>46288.0</v>
      </c>
      <c r="K7" s="15" t="s">
        <v>12</v>
      </c>
      <c r="L7" s="15" t="s">
        <v>13</v>
      </c>
      <c r="M7" s="15" t="s">
        <v>14</v>
      </c>
      <c r="N7" s="15" t="s">
        <v>15</v>
      </c>
      <c r="Q7" s="16" t="s">
        <v>16</v>
      </c>
      <c r="R7" s="17" t="s">
        <v>17</v>
      </c>
      <c r="S7" s="17" t="s">
        <v>18</v>
      </c>
      <c r="T7" s="18" t="s">
        <v>19</v>
      </c>
      <c r="U7" s="17" t="s">
        <v>20</v>
      </c>
      <c r="V7" s="18" t="s">
        <v>21</v>
      </c>
    </row>
    <row r="8" ht="26.25" customHeight="1">
      <c r="B8" s="19" t="s">
        <v>22</v>
      </c>
      <c r="C8" s="20" t="s">
        <v>23</v>
      </c>
      <c r="D8" s="20" t="s">
        <v>24</v>
      </c>
      <c r="E8" s="21" t="s">
        <v>25</v>
      </c>
      <c r="F8" s="22" t="s">
        <v>26</v>
      </c>
      <c r="G8" s="23" t="s">
        <v>27</v>
      </c>
      <c r="H8" s="24" t="b">
        <v>1</v>
      </c>
      <c r="I8" s="24" t="b">
        <v>1</v>
      </c>
      <c r="J8" s="24" t="b">
        <v>1</v>
      </c>
      <c r="K8" s="25">
        <f t="shared" ref="K8:K20" si="1">COUNTIF(H8:J8, TRUE)</f>
        <v>3</v>
      </c>
      <c r="L8" s="26">
        <f t="shared" ref="L8:L20" si="2">COUNTA($H$7:$J$7)</f>
        <v>3</v>
      </c>
      <c r="M8" s="27">
        <f t="shared" ref="M8:M21" si="3">IFERROR(K8/L8, 0)</f>
        <v>1</v>
      </c>
      <c r="N8" s="27" t="str">
        <f t="shared" ref="N8:N20" si="4">IF(M8&gt;=0.75, "Good Standing", IF(M8&gt;=0.5, "At Risk", "Critical"))</f>
        <v>Good Standing</v>
      </c>
      <c r="Q8" s="28" t="s">
        <v>28</v>
      </c>
      <c r="R8" s="29">
        <f t="shared" ref="R8:R12" si="5">COUNTIF($G$8:$G$20, Q8)</f>
        <v>5</v>
      </c>
      <c r="S8" s="29">
        <f t="shared" ref="S8:S12" si="6">SUMIF($G$8:$G$20, Q8, $K$8:$K$20)</f>
        <v>15</v>
      </c>
      <c r="T8" s="30">
        <f t="shared" ref="T8:T12" si="7">SUMIF($G$8:$G$20, Q8, $L$8:$L$20)</f>
        <v>15</v>
      </c>
      <c r="U8" s="31">
        <f t="shared" ref="U8:U13" si="8">IFERROR(S8/R8, 0)</f>
        <v>3</v>
      </c>
      <c r="V8" s="32">
        <f t="shared" ref="V8:V13" si="9">IFERROR(S8/T8, 0)</f>
        <v>1</v>
      </c>
    </row>
    <row r="9" ht="26.25" customHeight="1">
      <c r="B9" s="33" t="s">
        <v>29</v>
      </c>
      <c r="C9" s="34" t="s">
        <v>30</v>
      </c>
      <c r="D9" s="34" t="s">
        <v>24</v>
      </c>
      <c r="E9" s="23" t="s">
        <v>31</v>
      </c>
      <c r="F9" s="22" t="s">
        <v>32</v>
      </c>
      <c r="G9" s="23" t="s">
        <v>28</v>
      </c>
      <c r="H9" s="24" t="b">
        <v>1</v>
      </c>
      <c r="I9" s="24" t="b">
        <v>1</v>
      </c>
      <c r="J9" s="24" t="b">
        <v>1</v>
      </c>
      <c r="K9" s="25">
        <f t="shared" si="1"/>
        <v>3</v>
      </c>
      <c r="L9" s="26">
        <f t="shared" si="2"/>
        <v>3</v>
      </c>
      <c r="M9" s="27">
        <f t="shared" si="3"/>
        <v>1</v>
      </c>
      <c r="N9" s="27" t="str">
        <f t="shared" si="4"/>
        <v>Good Standing</v>
      </c>
      <c r="Q9" s="28" t="s">
        <v>27</v>
      </c>
      <c r="R9" s="29">
        <f t="shared" si="5"/>
        <v>4</v>
      </c>
      <c r="S9" s="29">
        <f t="shared" si="6"/>
        <v>12</v>
      </c>
      <c r="T9" s="30">
        <f t="shared" si="7"/>
        <v>12</v>
      </c>
      <c r="U9" s="31">
        <f t="shared" si="8"/>
        <v>3</v>
      </c>
      <c r="V9" s="32">
        <f t="shared" si="9"/>
        <v>1</v>
      </c>
    </row>
    <row r="10" ht="26.25" customHeight="1">
      <c r="B10" s="19" t="s">
        <v>33</v>
      </c>
      <c r="C10" s="20" t="s">
        <v>34</v>
      </c>
      <c r="D10" s="20" t="s">
        <v>24</v>
      </c>
      <c r="E10" s="21" t="s">
        <v>35</v>
      </c>
      <c r="F10" s="35" t="s">
        <v>36</v>
      </c>
      <c r="G10" s="21" t="s">
        <v>28</v>
      </c>
      <c r="H10" s="24" t="b">
        <v>1</v>
      </c>
      <c r="I10" s="24" t="b">
        <v>1</v>
      </c>
      <c r="J10" s="24" t="b">
        <v>1</v>
      </c>
      <c r="K10" s="25">
        <f t="shared" si="1"/>
        <v>3</v>
      </c>
      <c r="L10" s="26">
        <f t="shared" si="2"/>
        <v>3</v>
      </c>
      <c r="M10" s="27">
        <f t="shared" si="3"/>
        <v>1</v>
      </c>
      <c r="N10" s="27" t="str">
        <f t="shared" si="4"/>
        <v>Good Standing</v>
      </c>
      <c r="Q10" s="28" t="s">
        <v>37</v>
      </c>
      <c r="R10" s="29">
        <f t="shared" si="5"/>
        <v>2</v>
      </c>
      <c r="S10" s="29">
        <f t="shared" si="6"/>
        <v>6</v>
      </c>
      <c r="T10" s="30">
        <f t="shared" si="7"/>
        <v>6</v>
      </c>
      <c r="U10" s="31">
        <f t="shared" si="8"/>
        <v>3</v>
      </c>
      <c r="V10" s="32">
        <f t="shared" si="9"/>
        <v>1</v>
      </c>
    </row>
    <row r="11" ht="26.25" customHeight="1">
      <c r="B11" s="33" t="s">
        <v>38</v>
      </c>
      <c r="C11" s="34" t="s">
        <v>39</v>
      </c>
      <c r="D11" s="34" t="s">
        <v>24</v>
      </c>
      <c r="E11" s="36" t="s">
        <v>40</v>
      </c>
      <c r="F11" s="37" t="s">
        <v>41</v>
      </c>
      <c r="G11" s="36" t="s">
        <v>27</v>
      </c>
      <c r="H11" s="38" t="b">
        <v>1</v>
      </c>
      <c r="I11" s="38" t="b">
        <v>1</v>
      </c>
      <c r="J11" s="38" t="b">
        <v>1</v>
      </c>
      <c r="K11" s="39">
        <f t="shared" si="1"/>
        <v>3</v>
      </c>
      <c r="L11" s="40">
        <f t="shared" si="2"/>
        <v>3</v>
      </c>
      <c r="M11" s="41">
        <f t="shared" si="3"/>
        <v>1</v>
      </c>
      <c r="N11" s="41" t="str">
        <f t="shared" si="4"/>
        <v>Good Standing</v>
      </c>
      <c r="Q11" s="28" t="s">
        <v>42</v>
      </c>
      <c r="R11" s="29">
        <f t="shared" si="5"/>
        <v>1</v>
      </c>
      <c r="S11" s="29">
        <f t="shared" si="6"/>
        <v>3</v>
      </c>
      <c r="T11" s="30">
        <f t="shared" si="7"/>
        <v>3</v>
      </c>
      <c r="U11" s="31">
        <f t="shared" si="8"/>
        <v>3</v>
      </c>
      <c r="V11" s="32">
        <f t="shared" si="9"/>
        <v>1</v>
      </c>
    </row>
    <row r="12" ht="26.25" customHeight="1">
      <c r="B12" s="19" t="s">
        <v>43</v>
      </c>
      <c r="C12" s="20" t="s">
        <v>44</v>
      </c>
      <c r="D12" s="20" t="s">
        <v>24</v>
      </c>
      <c r="E12" s="21" t="s">
        <v>45</v>
      </c>
      <c r="F12" s="35" t="s">
        <v>46</v>
      </c>
      <c r="G12" s="21" t="s">
        <v>28</v>
      </c>
      <c r="H12" s="24" t="b">
        <v>1</v>
      </c>
      <c r="I12" s="24" t="b">
        <v>1</v>
      </c>
      <c r="J12" s="24" t="b">
        <v>1</v>
      </c>
      <c r="K12" s="25">
        <f t="shared" si="1"/>
        <v>3</v>
      </c>
      <c r="L12" s="26">
        <f t="shared" si="2"/>
        <v>3</v>
      </c>
      <c r="M12" s="27">
        <f t="shared" si="3"/>
        <v>1</v>
      </c>
      <c r="N12" s="27" t="str">
        <f t="shared" si="4"/>
        <v>Good Standing</v>
      </c>
      <c r="Q12" s="28" t="s">
        <v>47</v>
      </c>
      <c r="R12" s="29">
        <f t="shared" si="5"/>
        <v>1</v>
      </c>
      <c r="S12" s="29">
        <f t="shared" si="6"/>
        <v>1</v>
      </c>
      <c r="T12" s="30">
        <f t="shared" si="7"/>
        <v>3</v>
      </c>
      <c r="U12" s="31">
        <f t="shared" si="8"/>
        <v>1</v>
      </c>
      <c r="V12" s="32">
        <f t="shared" si="9"/>
        <v>0.3333333333</v>
      </c>
    </row>
    <row r="13" ht="26.25" customHeight="1">
      <c r="B13" s="33" t="s">
        <v>48</v>
      </c>
      <c r="C13" s="34" t="s">
        <v>49</v>
      </c>
      <c r="D13" s="34" t="s">
        <v>24</v>
      </c>
      <c r="E13" s="36" t="s">
        <v>50</v>
      </c>
      <c r="F13" s="37" t="s">
        <v>51</v>
      </c>
      <c r="G13" s="36" t="s">
        <v>42</v>
      </c>
      <c r="H13" s="38" t="b">
        <v>1</v>
      </c>
      <c r="I13" s="38" t="b">
        <v>1</v>
      </c>
      <c r="J13" s="38" t="b">
        <v>1</v>
      </c>
      <c r="K13" s="39">
        <f t="shared" si="1"/>
        <v>3</v>
      </c>
      <c r="L13" s="40">
        <f t="shared" si="2"/>
        <v>3</v>
      </c>
      <c r="M13" s="41">
        <f t="shared" si="3"/>
        <v>1</v>
      </c>
      <c r="N13" s="41" t="str">
        <f t="shared" si="4"/>
        <v>Good Standing</v>
      </c>
      <c r="Q13" s="42" t="s">
        <v>52</v>
      </c>
      <c r="R13" s="43">
        <f t="shared" ref="R13:T13" si="10">SUM(R8:R12)</f>
        <v>13</v>
      </c>
      <c r="S13" s="43">
        <f t="shared" si="10"/>
        <v>37</v>
      </c>
      <c r="T13" s="44">
        <f t="shared" si="10"/>
        <v>39</v>
      </c>
      <c r="U13" s="45">
        <f t="shared" si="8"/>
        <v>2.846153846</v>
      </c>
      <c r="V13" s="46">
        <f t="shared" si="9"/>
        <v>0.9487179487</v>
      </c>
    </row>
    <row r="14" ht="26.25" customHeight="1">
      <c r="B14" s="19" t="s">
        <v>53</v>
      </c>
      <c r="C14" s="20" t="s">
        <v>54</v>
      </c>
      <c r="D14" s="20" t="s">
        <v>24</v>
      </c>
      <c r="E14" s="21" t="s">
        <v>55</v>
      </c>
      <c r="F14" s="35" t="s">
        <v>56</v>
      </c>
      <c r="G14" s="21" t="s">
        <v>37</v>
      </c>
      <c r="H14" s="24" t="b">
        <v>1</v>
      </c>
      <c r="I14" s="24" t="b">
        <v>1</v>
      </c>
      <c r="J14" s="24" t="b">
        <v>1</v>
      </c>
      <c r="K14" s="25">
        <f t="shared" si="1"/>
        <v>3</v>
      </c>
      <c r="L14" s="26">
        <f t="shared" si="2"/>
        <v>3</v>
      </c>
      <c r="M14" s="27">
        <f t="shared" si="3"/>
        <v>1</v>
      </c>
      <c r="N14" s="27" t="str">
        <f t="shared" si="4"/>
        <v>Good Standing</v>
      </c>
    </row>
    <row r="15" ht="26.25" customHeight="1">
      <c r="B15" s="33" t="s">
        <v>57</v>
      </c>
      <c r="C15" s="34" t="s">
        <v>58</v>
      </c>
      <c r="D15" s="34" t="s">
        <v>24</v>
      </c>
      <c r="E15" s="36" t="s">
        <v>59</v>
      </c>
      <c r="F15" s="37" t="s">
        <v>60</v>
      </c>
      <c r="G15" s="36" t="s">
        <v>28</v>
      </c>
      <c r="H15" s="38" t="b">
        <v>1</v>
      </c>
      <c r="I15" s="38" t="b">
        <v>1</v>
      </c>
      <c r="J15" s="38" t="b">
        <v>1</v>
      </c>
      <c r="K15" s="39">
        <f t="shared" si="1"/>
        <v>3</v>
      </c>
      <c r="L15" s="40">
        <f t="shared" si="2"/>
        <v>3</v>
      </c>
      <c r="M15" s="41">
        <f t="shared" si="3"/>
        <v>1</v>
      </c>
      <c r="N15" s="41" t="str">
        <f t="shared" si="4"/>
        <v>Good Standing</v>
      </c>
      <c r="Q15" s="47" t="s">
        <v>61</v>
      </c>
      <c r="R15" s="48"/>
      <c r="S15" s="48"/>
      <c r="T15" s="48"/>
      <c r="U15" s="48"/>
      <c r="V15" s="49"/>
    </row>
    <row r="16" ht="27.0" customHeight="1">
      <c r="B16" s="19" t="s">
        <v>62</v>
      </c>
      <c r="C16" s="20" t="s">
        <v>63</v>
      </c>
      <c r="D16" s="20" t="s">
        <v>24</v>
      </c>
      <c r="E16" s="21" t="s">
        <v>64</v>
      </c>
      <c r="F16" s="35" t="s">
        <v>65</v>
      </c>
      <c r="G16" s="21" t="s">
        <v>27</v>
      </c>
      <c r="H16" s="24" t="b">
        <v>1</v>
      </c>
      <c r="I16" s="24" t="b">
        <v>1</v>
      </c>
      <c r="J16" s="24" t="b">
        <v>1</v>
      </c>
      <c r="K16" s="25">
        <f t="shared" si="1"/>
        <v>3</v>
      </c>
      <c r="L16" s="26">
        <f t="shared" si="2"/>
        <v>3</v>
      </c>
      <c r="M16" s="27">
        <f t="shared" si="3"/>
        <v>1</v>
      </c>
      <c r="N16" s="27" t="str">
        <f t="shared" si="4"/>
        <v>Good Standing</v>
      </c>
      <c r="Q16" s="50" t="s">
        <v>66</v>
      </c>
      <c r="R16" s="51"/>
      <c r="S16" s="51"/>
      <c r="T16" s="51"/>
      <c r="U16" s="51"/>
      <c r="V16" s="52"/>
    </row>
    <row r="17" ht="26.25" customHeight="1">
      <c r="B17" s="33" t="s">
        <v>67</v>
      </c>
      <c r="C17" s="34" t="s">
        <v>68</v>
      </c>
      <c r="D17" s="34" t="s">
        <v>24</v>
      </c>
      <c r="E17" s="36" t="s">
        <v>69</v>
      </c>
      <c r="F17" s="37" t="s">
        <v>70</v>
      </c>
      <c r="G17" s="36" t="s">
        <v>37</v>
      </c>
      <c r="H17" s="38" t="b">
        <v>1</v>
      </c>
      <c r="I17" s="38" t="b">
        <v>1</v>
      </c>
      <c r="J17" s="38" t="b">
        <v>1</v>
      </c>
      <c r="K17" s="39">
        <f t="shared" si="1"/>
        <v>3</v>
      </c>
      <c r="L17" s="40">
        <f t="shared" si="2"/>
        <v>3</v>
      </c>
      <c r="M17" s="41">
        <f t="shared" si="3"/>
        <v>1</v>
      </c>
      <c r="N17" s="41" t="str">
        <f t="shared" si="4"/>
        <v>Good Standing</v>
      </c>
    </row>
    <row r="18" ht="26.25" customHeight="1">
      <c r="B18" s="19" t="s">
        <v>71</v>
      </c>
      <c r="C18" s="20" t="s">
        <v>72</v>
      </c>
      <c r="D18" s="20" t="s">
        <v>73</v>
      </c>
      <c r="E18" s="21" t="s">
        <v>74</v>
      </c>
      <c r="F18" s="35" t="s">
        <v>75</v>
      </c>
      <c r="G18" s="21" t="s">
        <v>28</v>
      </c>
      <c r="H18" s="24" t="b">
        <v>1</v>
      </c>
      <c r="I18" s="24" t="b">
        <v>1</v>
      </c>
      <c r="J18" s="24" t="b">
        <v>1</v>
      </c>
      <c r="K18" s="25">
        <f t="shared" si="1"/>
        <v>3</v>
      </c>
      <c r="L18" s="26">
        <f t="shared" si="2"/>
        <v>3</v>
      </c>
      <c r="M18" s="27">
        <f t="shared" si="3"/>
        <v>1</v>
      </c>
      <c r="N18" s="27" t="str">
        <f t="shared" si="4"/>
        <v>Good Standing</v>
      </c>
    </row>
    <row r="19" ht="26.25" hidden="1" customHeight="1">
      <c r="B19" s="53" t="s">
        <v>76</v>
      </c>
      <c r="C19" s="54" t="s">
        <v>77</v>
      </c>
      <c r="D19" s="54" t="s">
        <v>24</v>
      </c>
      <c r="E19" s="55" t="s">
        <v>78</v>
      </c>
      <c r="F19" s="56" t="s">
        <v>79</v>
      </c>
      <c r="G19" s="55" t="s">
        <v>47</v>
      </c>
      <c r="H19" s="57" t="b">
        <v>1</v>
      </c>
      <c r="I19" s="57" t="b">
        <v>0</v>
      </c>
      <c r="J19" s="57" t="b">
        <v>0</v>
      </c>
      <c r="K19" s="58">
        <f t="shared" si="1"/>
        <v>1</v>
      </c>
      <c r="L19" s="59">
        <f t="shared" si="2"/>
        <v>3</v>
      </c>
      <c r="M19" s="60">
        <f t="shared" si="3"/>
        <v>0.3333333333</v>
      </c>
      <c r="N19" s="60" t="str">
        <f t="shared" si="4"/>
        <v>Critical</v>
      </c>
    </row>
    <row r="20" ht="26.25" hidden="1" customHeight="1">
      <c r="B20" s="53" t="s">
        <v>80</v>
      </c>
      <c r="C20" s="54" t="s">
        <v>81</v>
      </c>
      <c r="D20" s="54" t="s">
        <v>24</v>
      </c>
      <c r="E20" s="55" t="s">
        <v>82</v>
      </c>
      <c r="F20" s="56" t="s">
        <v>83</v>
      </c>
      <c r="G20" s="55" t="s">
        <v>27</v>
      </c>
      <c r="H20" s="57" t="b">
        <v>1</v>
      </c>
      <c r="I20" s="57" t="b">
        <v>1</v>
      </c>
      <c r="J20" s="57" t="b">
        <v>1</v>
      </c>
      <c r="K20" s="58">
        <f t="shared" si="1"/>
        <v>3</v>
      </c>
      <c r="L20" s="59">
        <f t="shared" si="2"/>
        <v>3</v>
      </c>
      <c r="M20" s="60">
        <f t="shared" si="3"/>
        <v>1</v>
      </c>
      <c r="N20" s="60" t="str">
        <f t="shared" si="4"/>
        <v>Good Standing</v>
      </c>
    </row>
    <row r="21" ht="26.25" customHeight="1">
      <c r="B21" s="61" t="s">
        <v>84</v>
      </c>
      <c r="C21" s="51"/>
      <c r="D21" s="51"/>
      <c r="E21" s="51"/>
      <c r="F21" s="51"/>
      <c r="G21" s="51"/>
      <c r="H21" s="62">
        <f t="shared" ref="H21:J21" si="11">COUNTIF(H8:H20, TRUE)</f>
        <v>13</v>
      </c>
      <c r="I21" s="62">
        <f t="shared" si="11"/>
        <v>12</v>
      </c>
      <c r="J21" s="62">
        <f t="shared" si="11"/>
        <v>12</v>
      </c>
      <c r="K21" s="62">
        <f t="shared" ref="K21:L21" si="12">SUM(K8:K20)</f>
        <v>37</v>
      </c>
      <c r="L21" s="63">
        <f t="shared" si="12"/>
        <v>39</v>
      </c>
      <c r="M21" s="64">
        <f t="shared" si="3"/>
        <v>0.9487179487</v>
      </c>
      <c r="N21" s="65"/>
    </row>
    <row r="22" ht="21.0" customHeight="1">
      <c r="B22" s="66" t="s">
        <v>85</v>
      </c>
      <c r="C22" s="67"/>
      <c r="D22" s="67"/>
      <c r="E22" s="67"/>
      <c r="F22" s="67"/>
      <c r="G22" s="67"/>
      <c r="H22" s="68">
        <f t="shared" ref="H22:J22" si="13">IFERROR(H21/COUNTA($B$8:$B$20), 0)</f>
        <v>1</v>
      </c>
      <c r="I22" s="68">
        <f t="shared" si="13"/>
        <v>0.9230769231</v>
      </c>
      <c r="J22" s="68">
        <f t="shared" si="13"/>
        <v>0.9230769231</v>
      </c>
      <c r="K22" s="69"/>
      <c r="L22" s="69"/>
      <c r="M22" s="68"/>
      <c r="N22" s="70"/>
    </row>
    <row r="23" ht="21.0" customHeight="1">
      <c r="B23" s="71"/>
      <c r="C23" s="71"/>
      <c r="D23" s="71"/>
      <c r="E23" s="71"/>
      <c r="F23" s="71"/>
      <c r="G23" s="71"/>
      <c r="H23" s="72"/>
      <c r="I23" s="72"/>
      <c r="J23" s="72"/>
      <c r="K23" s="72"/>
      <c r="L23" s="71"/>
      <c r="M23" s="71"/>
      <c r="N23" s="71"/>
    </row>
  </sheetData>
  <mergeCells count="12">
    <mergeCell ref="H5:I5"/>
    <mergeCell ref="Q15:V15"/>
    <mergeCell ref="Q16:V16"/>
    <mergeCell ref="B21:G21"/>
    <mergeCell ref="B22:G22"/>
    <mergeCell ref="B4:C4"/>
    <mergeCell ref="D4:E4"/>
    <mergeCell ref="F4:G4"/>
    <mergeCell ref="H4:I4"/>
    <mergeCell ref="B5:C5"/>
    <mergeCell ref="D5:E5"/>
    <mergeCell ref="F5:G5"/>
  </mergeCells>
  <conditionalFormatting sqref="N8:N20">
    <cfRule type="cellIs" dxfId="0" priority="1" stopIfTrue="1" operator="equal">
      <formula>"Good Standing"</formula>
    </cfRule>
  </conditionalFormatting>
  <conditionalFormatting sqref="N8:N20">
    <cfRule type="cellIs" dxfId="1" priority="2" stopIfTrue="1" operator="equal">
      <formula>"At Risk"</formula>
    </cfRule>
  </conditionalFormatting>
  <conditionalFormatting sqref="N8:N20">
    <cfRule type="cellIs" dxfId="2" priority="3" stopIfTrue="1" operator="equal">
      <formula>"Critical"</formula>
    </cfRule>
  </conditionalFormatting>
  <dataValidations>
    <dataValidation type="list" allowBlank="1" sqref="G8:G20">
      <formula1>"Cybersecurity,System Software,Web Engineering &amp; Gen AI,Events and Operations,PR &amp; Design"</formula1>
    </dataValidation>
  </dataValidations>
  <drawing r:id="rId2"/>
  <legacyDrawing r:id="rId3"/>
</worksheet>
</file>